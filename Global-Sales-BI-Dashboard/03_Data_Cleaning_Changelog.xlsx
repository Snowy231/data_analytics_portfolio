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macbook2015/Documents/Data Analytics Excel Documents/BI_Analysis_Project/"/>
    </mc:Choice>
  </mc:AlternateContent>
  <xr:revisionPtr revIDLastSave="0" documentId="8_{48384F3C-6227-7B48-A989-115EB2CEE1DA}" xr6:coauthVersionLast="36" xr6:coauthVersionMax="36" xr10:uidLastSave="{00000000-0000-0000-0000-000000000000}"/>
  <bookViews>
    <workbookView xWindow="0" yWindow="0" windowWidth="25600" windowHeight="16000" tabRatio="500" activeTab="1" xr2:uid="{00000000-000D-0000-FFFF-FFFF00000000}"/>
  </bookViews>
  <sheets>
    <sheet name="How to Use" sheetId="1" r:id="rId1"/>
    <sheet name="Changelog" sheetId="2" r:id="rId2"/>
  </sheets>
  <definedNames>
    <definedName name="_xlnm._FilterDatabase" localSheetId="1" hidden="1">Changelog!$A$5:$H$5</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K9" i="2" l="1"/>
  <c r="K8" i="2"/>
  <c r="K7" i="2"/>
  <c r="K6" i="2"/>
  <c r="K5" i="2"/>
  <c r="K2" i="2"/>
</calcChain>
</file>

<file path=xl/sharedStrings.xml><?xml version="1.0" encoding="utf-8"?>
<sst xmlns="http://schemas.openxmlformats.org/spreadsheetml/2006/main" count="195" uniqueCount="134">
  <si>
    <t>Data Cleaning Changelog — How to Use This Workbook</t>
  </si>
  <si>
    <t>A changelog records the notable changes made to a project over its lifetime — what was changed, why, how it was fixed, and what result it had. Keeping one for every data cleaning project makes it easy to show coworkers, managers, or stakeholders exactly how a dataset evolved.</t>
  </si>
  <si>
    <t>Guiding principles</t>
  </si>
  <si>
    <t>•  Changelogs are for humans, not machines — write in plain, legible language.</t>
  </si>
  <si>
    <t>•  Every version of the project gets its own entry (use the Version column).</t>
  </si>
  <si>
    <t>•  Each individual change gets its own row — don't combine multiple changes into one line.</t>
  </si>
  <si>
    <t>•  Group the same type of change together (Added, Changed, Fixed, etc.) — use the Type column and filter/sort by it.</t>
  </si>
  <si>
    <t>•  Order entries chronologically, starting with the latest version at the top.</t>
  </si>
  <si>
    <t>•  Always note the release date of each version.</t>
  </si>
  <si>
    <t>Change types</t>
  </si>
  <si>
    <t>Added — New columns, fields, calculations, or features introduced.</t>
  </si>
  <si>
    <t>Changed — Changes to existing data or functionality (formats, formulas, structure).</t>
  </si>
  <si>
    <t>Deprecated — Features or fields that are about to be removed.</t>
  </si>
  <si>
    <t>Removed — Features or fields that have been removed.</t>
  </si>
  <si>
    <t>Fixed — Bug fixes — errors, misalignments, broken formulas, bad values.</t>
  </si>
  <si>
    <t>Security — Anything that lowers a vulnerability (e.g. removing exposed personal data).</t>
  </si>
  <si>
    <t>How to log a change</t>
  </si>
  <si>
    <t>•  Go to the Changelog tab. Six example rows (shaded, from a past project) show the expected format — edit or delete them once you no longer need the reference.</t>
  </si>
  <si>
    <t>•  Add one new row per change, at the top of the current version's block, or start a new version block for a new project/session.</t>
  </si>
  <si>
    <t>•  Version: a short label for the project or session (e.g. "1.0", "1.1", or a project name + date).</t>
  </si>
  <si>
    <t>•  Release Date: the date you made the change.</t>
  </si>
  <si>
    <t>•  Type: pick from the dropdown (Added, Changed, Deprecated, Removed, Fixed, Security). The row shades automatically to match.</t>
  </si>
  <si>
    <t>•  What Changed: a short, specific description of the change itself.</t>
  </si>
  <si>
    <t>•  Why: the reason the change was needed (what problem it addressed).</t>
  </si>
  <si>
    <t>•  How Fixed: the method or steps used to make the change.</t>
  </si>
  <si>
    <t>•  Result / Impact: what changed for the data or the project because of it.</t>
  </si>
  <si>
    <t>•  Notes: anything else worth flagging (optional).</t>
  </si>
  <si>
    <t>•  Keep the newest version/date at the top of the sheet — reorder rows as new work comes in.</t>
  </si>
  <si>
    <t>The Summary box on the Changelog tab counts your entries automatically by type — it updates as you add rows.</t>
  </si>
  <si>
    <t>Summary</t>
  </si>
  <si>
    <t>Total Entries</t>
  </si>
  <si>
    <t>Added</t>
  </si>
  <si>
    <t>Version</t>
  </si>
  <si>
    <t>Release Date</t>
  </si>
  <si>
    <t>Type</t>
  </si>
  <si>
    <t>What Changed</t>
  </si>
  <si>
    <t>Why</t>
  </si>
  <si>
    <t>How Fixed</t>
  </si>
  <si>
    <t>Result / Impact</t>
  </si>
  <si>
    <t>Notes</t>
  </si>
  <si>
    <t>Changed</t>
  </si>
  <si>
    <t>1.0.0</t>
  </si>
  <si>
    <t>Deprecated</t>
  </si>
  <si>
    <t>Removed</t>
  </si>
  <si>
    <t>Fixed</t>
  </si>
  <si>
    <t>Security</t>
  </si>
  <si>
    <t>Documented inspection findings: 2,823 rows, 25 columns; one row = one order line item</t>
  </si>
  <si>
    <t>Removed "Address Line 1" column</t>
  </si>
  <si>
    <t>Removed "Address Line 2" column</t>
  </si>
  <si>
    <t>Removed "State" column</t>
  </si>
  <si>
    <t>Removed "Postal Code" column</t>
  </si>
  <si>
    <t>Removed "Phone" column</t>
  </si>
  <si>
    <t>Removed "Contact Last Name" column</t>
  </si>
  <si>
    <t>Removed "Contact First Name" column</t>
  </si>
  <si>
    <t>Applied TRIM to all text columns</t>
  </si>
  <si>
    <t>Standardised case for Territory, Country, Status, Deal Size, Product Line</t>
  </si>
  <si>
    <t>Added "Calculated Revenue" column = Quantity x Price Each</t>
  </si>
  <si>
    <t>Added "Variance" column = Sales - Calculated Revenue</t>
  </si>
  <si>
    <t>Added "Variance %" column = (Sales - Calculated Revenue) / Calculated Revenue</t>
  </si>
  <si>
    <t>Added "Effective Price Per Unit" column = Sales / Quantity Ordered</t>
  </si>
  <si>
    <t>Added "Price vs MSRP" column = Price Each / MSRP</t>
  </si>
  <si>
    <t>Added "Effective Price vs MSRP" column = Effective Price per unit / MSRP</t>
  </si>
  <si>
    <t>Added "Anomaly Diagnosis" column</t>
  </si>
  <si>
    <t>Investigated Sales ≠ Quantity x Price Each anomaly</t>
  </si>
  <si>
    <t>Added "Status Group' column</t>
  </si>
  <si>
    <t>Reclassified "In Process" from "At Risk" to "Pending"</t>
  </si>
  <si>
    <t>Validated Cleaned Dataset</t>
  </si>
  <si>
    <t>Needed a baseline record before any cleaning</t>
  </si>
  <si>
    <t>Street address has no analytical value for the business question</t>
  </si>
  <si>
    <t>89% blank (2,521/2,823 rows) too sparse to be useful</t>
  </si>
  <si>
    <t>53% blank (1,286/2,823 rows); Territory already covers geography</t>
  </si>
  <si>
    <t>3% blank; no analytical value; stored as "any" data type</t>
  </si>
  <si>
    <t>PII; no analytical value; stored as "any" data type</t>
  </si>
  <si>
    <t>Redundant with Customer Name; no analytical value</t>
  </si>
  <si>
    <t>Leading/trailing spaces can cause lookup mismatches and grouping errors</t>
  </si>
  <si>
    <t>Inconsistent casing would split categories In pivot tables</t>
  </si>
  <si>
    <t xml:space="preserve">Needed a baseline to compare against Sales for anomaly investigation </t>
  </si>
  <si>
    <t>To quantify the absolute gap between recorded and expected revenue</t>
  </si>
  <si>
    <t>To express the anomaly as a percentage for pattern detection</t>
  </si>
  <si>
    <t>To derive what unit price the Sales value implies</t>
  </si>
  <si>
    <t xml:space="preserve">To measure discount depth per line item </t>
  </si>
  <si>
    <t>To compare Sales-implied price against MSRP</t>
  </si>
  <si>
    <t>To categorise each row's Sales anomaly for investigation</t>
  </si>
  <si>
    <t>~45% of rows showed mismatch; needed to determine which column to trust</t>
  </si>
  <si>
    <t>To group 6 order statuses into 4 actionable categories for Risk dashboard</t>
  </si>
  <si>
    <t>Investigated In Process order dates - found they span 29-May-2005 to 31-May-2005 (last 3 days of the dataset)</t>
  </si>
  <si>
    <t>Confirmed cleaning didn't break data integrity</t>
  </si>
  <si>
    <t>Ran full column profiling in Power Query (entire dataset)</t>
  </si>
  <si>
    <t>Deleted column in Power Query</t>
  </si>
  <si>
    <t xml:space="preserve">Applied Text Trim In Power Query to all text columns </t>
  </si>
  <si>
    <t>Applied case standardisation in Power Query</t>
  </si>
  <si>
    <t>Custom column in Power Query</t>
  </si>
  <si>
    <t>Custom column in Power Query; formatted as Percentage</t>
  </si>
  <si>
    <t>Custom column with nested if logic in Power Query</t>
  </si>
  <si>
    <t>Tested hypotheses: MSRP-based pricing (ruled out), product-line markup (ruled out), fixed fee (ruled out), system change (ruled out)</t>
  </si>
  <si>
    <t>Custom column mapping: Shipped/Resolved= Clean, Cancelled= Failed, Disputed/On-Hold= At Risk, In Process= Pending</t>
  </si>
  <si>
    <t>Updated Status Group Logic; adjusted risk-rate formula to exclude Pending from denominator</t>
  </si>
  <si>
    <t>Row count: 2,823 ✓ 
Column count: 26 ✓ 
Anomaly counts unchanged ✓
No blanks in key columns ✓
Territory distinct: 4 ✓</t>
  </si>
  <si>
    <t>Established known issues: blanks in Address Line 2 (89%), State (53%), Postal Code (3%); 2 "any" data type columns (Phone, Postal Code); Sales anomaly on ~45% of rows</t>
  </si>
  <si>
    <t>Reduced model siz; no impact on analysis</t>
  </si>
  <si>
    <t>Eliminated a mostly-empty column that added noise</t>
  </si>
  <si>
    <t>No impact - Territory is the geographic dimension</t>
  </si>
  <si>
    <t>Removed a column that couldn't be reliably typed</t>
  </si>
  <si>
    <t>Order Number repeats are expected (line items), not duplicates</t>
  </si>
  <si>
    <t>-</t>
  </si>
  <si>
    <t>Blanks likely country-specific (non-US)</t>
  </si>
  <si>
    <t>Reduced PII exposure and model noise</t>
  </si>
  <si>
    <t>Security consideration - removed customer contact data</t>
  </si>
  <si>
    <t xml:space="preserve">Reduced noise </t>
  </si>
  <si>
    <t>Consistent text values; no hidden whitespace</t>
  </si>
  <si>
    <t>Consistent category values; no duplicate categories from casing</t>
  </si>
  <si>
    <t>Enabled variance analysis</t>
  </si>
  <si>
    <t xml:space="preserve">Enabled anomaly quantification </t>
  </si>
  <si>
    <t>Found variance averages 39%, ranges 1% - 153%, always postive</t>
  </si>
  <si>
    <t xml:space="preserve">Data Type: Percentage </t>
  </si>
  <si>
    <t>Data Type: Decimal Number</t>
  </si>
  <si>
    <t>Inspection found no casing issues, applied as preventive measure</t>
  </si>
  <si>
    <t>Inspection found no near-duplicates, but TRIM applied as preventive measure</t>
  </si>
  <si>
    <t>Enabled comparison against Price Each and MSRP</t>
  </si>
  <si>
    <t>Supports discount analysis in Growth dashboard</t>
  </si>
  <si>
    <t>Used in anomaly diagnosis logic</t>
  </si>
  <si>
    <t>Result: 1,544 consistent / 52 MSRP-based / 1,227 Unexplained</t>
  </si>
  <si>
    <t>Decision: retain Sales as authorative revenue column; document anomaly as known limitation</t>
  </si>
  <si>
    <t xml:space="preserve">Enables clean risk-rate calculations </t>
  </si>
  <si>
    <t>More accurate risk calculations; avoids penalising recent orders</t>
  </si>
  <si>
    <t>MSRP hypothesis largely rejected - explained only 1.8% of cases</t>
  </si>
  <si>
    <t>All variance positive (Sales never understand); Max 152.87%; Avg 39%; no pattern by product, year, or quantity</t>
  </si>
  <si>
    <t>These orders are too recent to have reached final status, not at risk</t>
  </si>
  <si>
    <t>Cleaning verified; dataset ready for analysis and dashboard build</t>
  </si>
  <si>
    <t>Territory values: APAC, EMEA, Japan, NA</t>
  </si>
  <si>
    <t>Data Cleaning &amp; Preparation - Changelog</t>
  </si>
  <si>
    <t>Dataset: Sales Orders</t>
  </si>
  <si>
    <t>Analyst Name: Ebuka Mac-Donald Obisike</t>
  </si>
  <si>
    <t>Business Intelligence Project (Personal)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</si>
</sst>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5" x14ac:knownFonts="1">
    <font>
      <sz val="11"/>
      <color theme="1"/>
      <name val="Calibri"/>
      <family val="2"/>
      <charset val="1"/>
    </font>
    <font>
      <b/>
      <sz val="16"/>
      <color rgb="FF1F4E78"/>
      <name val="Arial"/>
      <charset val="1"/>
    </font>
    <font>
      <sz val="11"/>
      <color rgb="FF000000"/>
      <name val="Arial"/>
      <charset val="1"/>
    </font>
    <font>
      <b/>
      <sz val="13"/>
      <color rgb="FF1F4E78"/>
      <name val="Arial"/>
      <charset val="1"/>
    </font>
    <font>
      <sz val="11"/>
      <name val="Arial"/>
      <charset val="1"/>
    </font>
    <font>
      <b/>
      <sz val="12"/>
      <color rgb="FFFFFFFF"/>
      <name val="Arial"/>
      <charset val="1"/>
    </font>
    <font>
      <sz val="10"/>
      <name val="Arial"/>
      <charset val="1"/>
    </font>
    <font>
      <b/>
      <sz val="10"/>
      <name val="Arial"/>
      <charset val="1"/>
    </font>
    <font>
      <b/>
      <sz val="11"/>
      <color rgb="FFFFFFFF"/>
      <name val="Arial"/>
      <charset val="1"/>
    </font>
    <font>
      <sz val="11"/>
      <name val="Arial"/>
      <family val="2"/>
    </font>
    <font>
      <i/>
      <sz val="11"/>
      <color rgb="FF808080"/>
      <name val="Arial"/>
      <family val="2"/>
    </font>
    <font>
      <i/>
      <sz val="11"/>
      <color rgb="FF595959"/>
      <name val="Arial"/>
      <family val="2"/>
    </font>
    <font>
      <b/>
      <i/>
      <sz val="12"/>
      <color rgb="FF595959"/>
      <name val="Arial"/>
      <family val="2"/>
    </font>
    <font>
      <b/>
      <i/>
      <sz val="11"/>
      <color rgb="FF595959"/>
      <name val="Arial"/>
      <family val="2"/>
    </font>
    <font>
      <b/>
      <sz val="18"/>
      <color rgb="FF1F4E78"/>
      <name val="Arial"/>
      <family val="2"/>
    </font>
  </fonts>
  <fills count="9">
    <fill>
      <patternFill patternType="none"/>
    </fill>
    <fill>
      <patternFill patternType="gray125"/>
    </fill>
    <fill>
      <patternFill patternType="solid">
        <fgColor rgb="FFE2F0D9"/>
        <bgColor rgb="FFDDEBF7"/>
      </patternFill>
    </fill>
    <fill>
      <patternFill patternType="solid">
        <fgColor rgb="FFDDEBF7"/>
        <bgColor rgb="FFE2F0D9"/>
      </patternFill>
    </fill>
    <fill>
      <patternFill patternType="solid">
        <fgColor rgb="FFFFF2CC"/>
        <bgColor rgb="FFFDEBD0"/>
      </patternFill>
    </fill>
    <fill>
      <patternFill patternType="solid">
        <fgColor rgb="FFFCE4E4"/>
        <bgColor rgb="FFFDEBD0"/>
      </patternFill>
    </fill>
    <fill>
      <patternFill patternType="solid">
        <fgColor rgb="FFE8DAEF"/>
        <bgColor rgb="FFFCE4E4"/>
      </patternFill>
    </fill>
    <fill>
      <patternFill patternType="solid">
        <fgColor rgb="FFFDEBD0"/>
        <bgColor rgb="FFFFF2CC"/>
      </patternFill>
    </fill>
    <fill>
      <patternFill patternType="solid">
        <fgColor rgb="FF1F4E78"/>
        <bgColor rgb="FF0033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1">
    <xf numFmtId="0" fontId="0" fillId="0" borderId="0" xfId="0"/>
    <xf numFmtId="0" fontId="5" fillId="8" borderId="0" xfId="0" applyFont="1" applyFill="1" applyBorder="1" applyAlignment="1">
      <alignment horizontal="center" vertical="center"/>
    </xf>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indent="1"/>
    </xf>
    <xf numFmtId="0" fontId="4" fillId="2" borderId="0" xfId="0" applyFont="1" applyFill="1" applyAlignment="1">
      <alignment vertical="top" wrapText="1" indent="1"/>
    </xf>
    <xf numFmtId="0" fontId="4" fillId="3" borderId="0" xfId="0" applyFont="1" applyFill="1" applyAlignment="1">
      <alignment vertical="top" wrapText="1" indent="1"/>
    </xf>
    <xf numFmtId="0" fontId="4" fillId="4" borderId="0" xfId="0" applyFont="1" applyFill="1" applyAlignment="1">
      <alignment vertical="top" wrapText="1" indent="1"/>
    </xf>
    <xf numFmtId="0" fontId="4" fillId="5" borderId="0" xfId="0" applyFont="1" applyFill="1" applyAlignment="1">
      <alignment vertical="top" wrapText="1" indent="1"/>
    </xf>
    <xf numFmtId="0" fontId="4" fillId="6" borderId="0" xfId="0" applyFont="1" applyFill="1" applyAlignment="1">
      <alignment vertical="top" wrapText="1" indent="1"/>
    </xf>
    <xf numFmtId="0" fontId="4" fillId="7" borderId="0" xfId="0" applyFont="1" applyFill="1" applyAlignment="1">
      <alignment vertical="top" wrapText="1" indent="1"/>
    </xf>
    <xf numFmtId="0" fontId="6" fillId="0" borderId="1" xfId="0" applyFont="1" applyBorder="1"/>
    <xf numFmtId="0" fontId="7" fillId="0" borderId="1" xfId="0" applyFont="1" applyBorder="1" applyAlignment="1">
      <alignment horizontal="center"/>
    </xf>
    <xf numFmtId="0" fontId="8" fillId="8" borderId="1" xfId="0" applyFont="1" applyFill="1" applyBorder="1" applyAlignment="1">
      <alignment horizontal="center" vertical="center" wrapText="1"/>
    </xf>
    <xf numFmtId="0" fontId="6" fillId="3" borderId="1" xfId="0" applyFont="1" applyFill="1" applyBorder="1"/>
    <xf numFmtId="0" fontId="6" fillId="0" borderId="1" xfId="0" applyFont="1" applyBorder="1" applyAlignment="1">
      <alignment horizontal="center" vertical="top" wrapText="1"/>
    </xf>
    <xf numFmtId="164" fontId="6" fillId="0" borderId="1" xfId="0" applyNumberFormat="1" applyFont="1" applyBorder="1" applyAlignment="1">
      <alignment horizontal="center" vertical="top" wrapText="1"/>
    </xf>
    <xf numFmtId="0" fontId="6" fillId="0" borderId="1" xfId="0" applyFont="1" applyBorder="1" applyAlignment="1">
      <alignment horizontal="left" vertical="top" wrapText="1"/>
    </xf>
    <xf numFmtId="0" fontId="6" fillId="4" borderId="1" xfId="0" applyFont="1" applyFill="1" applyBorder="1"/>
    <xf numFmtId="0" fontId="6" fillId="5" borderId="1" xfId="0" applyFont="1" applyFill="1" applyBorder="1"/>
    <xf numFmtId="0" fontId="6" fillId="6" borderId="1" xfId="0" applyFont="1" applyFill="1" applyBorder="1"/>
    <xf numFmtId="0" fontId="6" fillId="7" borderId="1" xfId="0" applyFont="1" applyFill="1" applyBorder="1"/>
    <xf numFmtId="0" fontId="9" fillId="0" borderId="1" xfId="0" applyFont="1" applyBorder="1" applyAlignment="1">
      <alignment horizontal="center" vertical="top" wrapText="1"/>
    </xf>
    <xf numFmtId="164" fontId="9" fillId="0" borderId="1" xfId="0" applyNumberFormat="1" applyFont="1" applyBorder="1" applyAlignment="1">
      <alignment horizontal="center" vertical="top"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0" fontId="11" fillId="0" borderId="0" xfId="0" applyFont="1" applyBorder="1" applyAlignment="1">
      <alignment horizontal="left" vertical="center" wrapText="1"/>
    </xf>
    <xf numFmtId="0" fontId="12" fillId="0" borderId="0" xfId="0" applyFont="1" applyBorder="1" applyAlignment="1">
      <alignment horizontal="left" vertical="center" wrapText="1"/>
    </xf>
    <xf numFmtId="0" fontId="13" fillId="0" borderId="0" xfId="0" applyFont="1" applyBorder="1" applyAlignment="1">
      <alignment horizontal="left" vertical="center" wrapText="1"/>
    </xf>
    <xf numFmtId="0" fontId="14" fillId="0" borderId="0" xfId="0" applyFont="1" applyBorder="1" applyAlignment="1">
      <alignment horizontal="left" vertical="center"/>
    </xf>
  </cellXfs>
  <cellStyles count="1">
    <cellStyle name="Normal" xfId="0" builtinId="0"/>
  </cellStyles>
  <dxfs count="6">
    <dxf>
      <fill>
        <patternFill>
          <bgColor rgb="FFFDEBD0"/>
        </patternFill>
      </fill>
    </dxf>
    <dxf>
      <fill>
        <patternFill>
          <bgColor rgb="FFE8DAEF"/>
        </patternFill>
      </fill>
    </dxf>
    <dxf>
      <fill>
        <patternFill>
          <bgColor rgb="FFFCE4E4"/>
        </patternFill>
      </fill>
    </dxf>
    <dxf>
      <fill>
        <patternFill>
          <bgColor rgb="FFFFF2CC"/>
        </patternFill>
      </fill>
    </dxf>
    <dxf>
      <fill>
        <patternFill>
          <bgColor rgb="FFDDEBF7"/>
        </patternFill>
      </fill>
    </dxf>
    <dxf>
      <fill>
        <patternFill>
          <bgColor rgb="FFE2F0D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8DAEF"/>
      <rgbColor rgb="FF000080"/>
      <rgbColor rgb="FFFF00FF"/>
      <rgbColor rgb="FFFFFF00"/>
      <rgbColor rgb="FF00FFFF"/>
      <rgbColor rgb="FF800080"/>
      <rgbColor rgb="FF800000"/>
      <rgbColor rgb="FF008080"/>
      <rgbColor rgb="FF0000FF"/>
      <rgbColor rgb="FF00CCFF"/>
      <rgbColor rgb="FFCCFFFF"/>
      <rgbColor rgb="FFE2F0D9"/>
      <rgbColor rgb="FFFDEBD0"/>
      <rgbColor rgb="FF99CCFF"/>
      <rgbColor rgb="FFFF99CC"/>
      <rgbColor rgb="FFCC99FF"/>
      <rgbColor rgb="FFFCE4E4"/>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35"/>
  <sheetViews>
    <sheetView showGridLines="0" zoomScale="85" zoomScaleNormal="85" workbookViewId="0"/>
  </sheetViews>
  <sheetFormatPr baseColWidth="10" defaultColWidth="8.6640625" defaultRowHeight="15" x14ac:dyDescent="0.2"/>
  <cols>
    <col min="1" max="1" width="3" customWidth="1"/>
    <col min="2" max="2" width="100" customWidth="1"/>
  </cols>
  <sheetData>
    <row r="2" spans="2:2" ht="21" x14ac:dyDescent="0.2">
      <c r="B2" s="2" t="s">
        <v>0</v>
      </c>
    </row>
    <row r="4" spans="2:2" ht="45" x14ac:dyDescent="0.2">
      <c r="B4" s="3" t="s">
        <v>1</v>
      </c>
    </row>
    <row r="6" spans="2:2" ht="18" x14ac:dyDescent="0.2">
      <c r="B6" s="4" t="s">
        <v>2</v>
      </c>
    </row>
    <row r="7" spans="2:2" x14ac:dyDescent="0.2">
      <c r="B7" s="5" t="s">
        <v>3</v>
      </c>
    </row>
    <row r="8" spans="2:2" x14ac:dyDescent="0.2">
      <c r="B8" s="5" t="s">
        <v>4</v>
      </c>
    </row>
    <row r="9" spans="2:2" x14ac:dyDescent="0.2">
      <c r="B9" s="5" t="s">
        <v>5</v>
      </c>
    </row>
    <row r="10" spans="2:2" x14ac:dyDescent="0.2">
      <c r="B10" s="5" t="s">
        <v>6</v>
      </c>
    </row>
    <row r="11" spans="2:2" x14ac:dyDescent="0.2">
      <c r="B11" s="5" t="s">
        <v>7</v>
      </c>
    </row>
    <row r="12" spans="2:2" x14ac:dyDescent="0.2">
      <c r="B12" s="5" t="s">
        <v>8</v>
      </c>
    </row>
    <row r="14" spans="2:2" ht="18" x14ac:dyDescent="0.2">
      <c r="B14" s="4" t="s">
        <v>9</v>
      </c>
    </row>
    <row r="15" spans="2:2" x14ac:dyDescent="0.2">
      <c r="B15" s="6" t="s">
        <v>10</v>
      </c>
    </row>
    <row r="16" spans="2:2" x14ac:dyDescent="0.2">
      <c r="B16" s="7" t="s">
        <v>11</v>
      </c>
    </row>
    <row r="17" spans="2:2" x14ac:dyDescent="0.2">
      <c r="B17" s="8" t="s">
        <v>12</v>
      </c>
    </row>
    <row r="18" spans="2:2" x14ac:dyDescent="0.2">
      <c r="B18" s="9" t="s">
        <v>13</v>
      </c>
    </row>
    <row r="19" spans="2:2" x14ac:dyDescent="0.2">
      <c r="B19" s="10" t="s">
        <v>14</v>
      </c>
    </row>
    <row r="20" spans="2:2" x14ac:dyDescent="0.2">
      <c r="B20" s="11" t="s">
        <v>15</v>
      </c>
    </row>
    <row r="22" spans="2:2" ht="18" x14ac:dyDescent="0.2">
      <c r="B22" s="4" t="s">
        <v>16</v>
      </c>
    </row>
    <row r="23" spans="2:2" ht="30" x14ac:dyDescent="0.2">
      <c r="B23" s="5" t="s">
        <v>17</v>
      </c>
    </row>
    <row r="24" spans="2:2" ht="30" x14ac:dyDescent="0.2">
      <c r="B24" s="5" t="s">
        <v>18</v>
      </c>
    </row>
    <row r="25" spans="2:2" x14ac:dyDescent="0.2">
      <c r="B25" s="5" t="s">
        <v>19</v>
      </c>
    </row>
    <row r="26" spans="2:2" x14ac:dyDescent="0.2">
      <c r="B26" s="5" t="s">
        <v>20</v>
      </c>
    </row>
    <row r="27" spans="2:2" ht="30" x14ac:dyDescent="0.2">
      <c r="B27" s="5" t="s">
        <v>21</v>
      </c>
    </row>
    <row r="28" spans="2:2" x14ac:dyDescent="0.2">
      <c r="B28" s="5" t="s">
        <v>22</v>
      </c>
    </row>
    <row r="29" spans="2:2" x14ac:dyDescent="0.2">
      <c r="B29" s="5" t="s">
        <v>23</v>
      </c>
    </row>
    <row r="30" spans="2:2" x14ac:dyDescent="0.2">
      <c r="B30" s="5" t="s">
        <v>24</v>
      </c>
    </row>
    <row r="31" spans="2:2" x14ac:dyDescent="0.2">
      <c r="B31" s="5" t="s">
        <v>25</v>
      </c>
    </row>
    <row r="32" spans="2:2" x14ac:dyDescent="0.2">
      <c r="B32" s="5" t="s">
        <v>26</v>
      </c>
    </row>
    <row r="33" spans="2:2" x14ac:dyDescent="0.2">
      <c r="B33" s="5" t="s">
        <v>27</v>
      </c>
    </row>
    <row r="35" spans="2:2" x14ac:dyDescent="0.2">
      <c r="B35" s="3" t="s">
        <v>28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6"/>
  <sheetViews>
    <sheetView showGridLines="0" tabSelected="1" zoomScaleNormal="100" workbookViewId="0">
      <pane ySplit="5" topLeftCell="A6" activePane="bottomLeft" state="frozen"/>
      <selection pane="bottomLeft" activeCell="E4" sqref="E4"/>
    </sheetView>
  </sheetViews>
  <sheetFormatPr baseColWidth="10" defaultColWidth="8.6640625" defaultRowHeight="15" x14ac:dyDescent="0.2"/>
  <cols>
    <col min="1" max="1" width="14.1640625" customWidth="1"/>
    <col min="2" max="2" width="16.83203125" customWidth="1"/>
    <col min="3" max="3" width="13" customWidth="1"/>
    <col min="4" max="4" width="40" customWidth="1"/>
    <col min="5" max="5" width="45" customWidth="1"/>
    <col min="6" max="6" width="39.1640625" customWidth="1"/>
    <col min="7" max="7" width="39.6640625" customWidth="1"/>
    <col min="8" max="8" width="28.1640625" customWidth="1"/>
    <col min="9" max="9" width="3" customWidth="1"/>
    <col min="10" max="10" width="16" customWidth="1"/>
    <col min="11" max="11" width="8" customWidth="1"/>
  </cols>
  <sheetData>
    <row r="1" spans="1:11" ht="23" x14ac:dyDescent="0.2">
      <c r="A1" s="30" t="s">
        <v>130</v>
      </c>
      <c r="B1" s="30"/>
      <c r="C1" s="30"/>
      <c r="D1" s="30"/>
      <c r="E1" s="30"/>
      <c r="F1" s="30"/>
      <c r="G1" s="30"/>
      <c r="H1" s="30"/>
      <c r="J1" s="1" t="s">
        <v>29</v>
      </c>
      <c r="K1" s="1"/>
    </row>
    <row r="2" spans="1:11" ht="20" customHeight="1" x14ac:dyDescent="0.2">
      <c r="A2" s="29" t="s">
        <v>133</v>
      </c>
      <c r="B2" s="29"/>
      <c r="C2" s="29"/>
      <c r="D2" s="29"/>
      <c r="E2" s="29"/>
      <c r="F2" s="29"/>
      <c r="G2" s="29"/>
      <c r="H2" s="29"/>
      <c r="J2" s="12" t="s">
        <v>30</v>
      </c>
      <c r="K2" s="13">
        <f>COUNTA(A6:A106)</f>
        <v>21</v>
      </c>
    </row>
    <row r="3" spans="1:11" ht="27.75" customHeight="1" x14ac:dyDescent="0.2">
      <c r="A3" s="29" t="s">
        <v>131</v>
      </c>
      <c r="B3" s="29"/>
      <c r="C3" s="29"/>
      <c r="D3" s="27"/>
      <c r="E3" s="27"/>
      <c r="F3" s="27"/>
      <c r="G3" s="27"/>
      <c r="H3" s="27"/>
      <c r="J3" s="12"/>
      <c r="K3" s="13"/>
    </row>
    <row r="4" spans="1:11" ht="27.75" customHeight="1" x14ac:dyDescent="0.2">
      <c r="A4" s="28" t="s">
        <v>132</v>
      </c>
      <c r="B4" s="28"/>
      <c r="C4" s="28"/>
      <c r="D4" s="28"/>
      <c r="E4" s="27"/>
      <c r="F4" s="27"/>
      <c r="G4" s="27"/>
      <c r="H4" s="27"/>
      <c r="J4" s="12"/>
      <c r="K4" s="13"/>
    </row>
    <row r="5" spans="1:11" ht="30" customHeight="1" x14ac:dyDescent="0.2">
      <c r="A5" s="14" t="s">
        <v>32</v>
      </c>
      <c r="B5" s="14" t="s">
        <v>33</v>
      </c>
      <c r="C5" s="14" t="s">
        <v>34</v>
      </c>
      <c r="D5" s="14" t="s">
        <v>35</v>
      </c>
      <c r="E5" s="14" t="s">
        <v>36</v>
      </c>
      <c r="F5" s="14" t="s">
        <v>37</v>
      </c>
      <c r="G5" s="14" t="s">
        <v>38</v>
      </c>
      <c r="H5" s="14" t="s">
        <v>39</v>
      </c>
      <c r="J5" s="15" t="s">
        <v>40</v>
      </c>
      <c r="K5" s="13">
        <f>COUNTIF(C6:C106,"Changed")</f>
        <v>2</v>
      </c>
    </row>
    <row r="6" spans="1:11" ht="61" customHeight="1" x14ac:dyDescent="0.2">
      <c r="A6" s="23" t="s">
        <v>41</v>
      </c>
      <c r="B6" s="24">
        <v>45927</v>
      </c>
      <c r="C6" s="23" t="s">
        <v>31</v>
      </c>
      <c r="D6" s="25" t="s">
        <v>46</v>
      </c>
      <c r="E6" s="25" t="s">
        <v>67</v>
      </c>
      <c r="F6" s="25" t="s">
        <v>87</v>
      </c>
      <c r="G6" s="25" t="s">
        <v>98</v>
      </c>
      <c r="H6" s="26" t="s">
        <v>103</v>
      </c>
      <c r="J6" s="19" t="s">
        <v>42</v>
      </c>
      <c r="K6" s="13">
        <f>COUNTIF(C6:C106,"Deprecated")</f>
        <v>0</v>
      </c>
    </row>
    <row r="7" spans="1:11" ht="45" customHeight="1" x14ac:dyDescent="0.2">
      <c r="A7" s="23" t="s">
        <v>41</v>
      </c>
      <c r="B7" s="24">
        <v>45927</v>
      </c>
      <c r="C7" s="23" t="s">
        <v>43</v>
      </c>
      <c r="D7" s="25" t="s">
        <v>47</v>
      </c>
      <c r="E7" s="25" t="s">
        <v>68</v>
      </c>
      <c r="F7" s="25" t="s">
        <v>88</v>
      </c>
      <c r="G7" s="25" t="s">
        <v>99</v>
      </c>
      <c r="H7" s="26" t="s">
        <v>104</v>
      </c>
      <c r="J7" s="20" t="s">
        <v>43</v>
      </c>
      <c r="K7" s="13">
        <f>COUNTIF(C6:C106,"Removed")</f>
        <v>7</v>
      </c>
    </row>
    <row r="8" spans="1:11" ht="45" customHeight="1" x14ac:dyDescent="0.2">
      <c r="A8" s="23" t="s">
        <v>41</v>
      </c>
      <c r="B8" s="24">
        <v>45927</v>
      </c>
      <c r="C8" s="23" t="s">
        <v>43</v>
      </c>
      <c r="D8" s="25" t="s">
        <v>48</v>
      </c>
      <c r="E8" s="25" t="s">
        <v>69</v>
      </c>
      <c r="F8" s="25" t="s">
        <v>88</v>
      </c>
      <c r="G8" s="25" t="s">
        <v>100</v>
      </c>
      <c r="H8" s="26" t="s">
        <v>104</v>
      </c>
      <c r="J8" s="21" t="s">
        <v>44</v>
      </c>
      <c r="K8" s="13">
        <f>COUNTIF(C6:C106,"Fixed")</f>
        <v>2</v>
      </c>
    </row>
    <row r="9" spans="1:11" ht="45" customHeight="1" x14ac:dyDescent="0.2">
      <c r="A9" s="23" t="s">
        <v>41</v>
      </c>
      <c r="B9" s="24">
        <v>45927</v>
      </c>
      <c r="C9" s="23" t="s">
        <v>43</v>
      </c>
      <c r="D9" s="25" t="s">
        <v>49</v>
      </c>
      <c r="E9" s="25" t="s">
        <v>70</v>
      </c>
      <c r="F9" s="25" t="s">
        <v>88</v>
      </c>
      <c r="G9" s="25" t="s">
        <v>101</v>
      </c>
      <c r="H9" s="26" t="s">
        <v>105</v>
      </c>
      <c r="J9" s="22" t="s">
        <v>45</v>
      </c>
      <c r="K9" s="13">
        <f>COUNTIF(C6:C106,"Security")</f>
        <v>0</v>
      </c>
    </row>
    <row r="10" spans="1:11" ht="45" customHeight="1" x14ac:dyDescent="0.2">
      <c r="A10" s="23" t="s">
        <v>41</v>
      </c>
      <c r="B10" s="24">
        <v>45927</v>
      </c>
      <c r="C10" s="23" t="s">
        <v>43</v>
      </c>
      <c r="D10" s="25" t="s">
        <v>50</v>
      </c>
      <c r="E10" s="25" t="s">
        <v>71</v>
      </c>
      <c r="F10" s="25" t="s">
        <v>88</v>
      </c>
      <c r="G10" s="25" t="s">
        <v>102</v>
      </c>
      <c r="H10" s="26" t="s">
        <v>104</v>
      </c>
    </row>
    <row r="11" spans="1:11" ht="45" customHeight="1" x14ac:dyDescent="0.2">
      <c r="A11" s="23" t="s">
        <v>41</v>
      </c>
      <c r="B11" s="24">
        <v>45927</v>
      </c>
      <c r="C11" s="23" t="s">
        <v>43</v>
      </c>
      <c r="D11" s="25" t="s">
        <v>51</v>
      </c>
      <c r="E11" s="25" t="s">
        <v>72</v>
      </c>
      <c r="F11" s="25" t="s">
        <v>88</v>
      </c>
      <c r="G11" s="25" t="s">
        <v>106</v>
      </c>
      <c r="H11" s="26" t="s">
        <v>107</v>
      </c>
    </row>
    <row r="12" spans="1:11" ht="30" customHeight="1" x14ac:dyDescent="0.2">
      <c r="A12" s="23" t="s">
        <v>41</v>
      </c>
      <c r="B12" s="24">
        <v>45927</v>
      </c>
      <c r="C12" s="23" t="s">
        <v>43</v>
      </c>
      <c r="D12" s="25" t="s">
        <v>52</v>
      </c>
      <c r="E12" s="25" t="s">
        <v>73</v>
      </c>
      <c r="F12" s="25" t="s">
        <v>88</v>
      </c>
      <c r="G12" s="25" t="s">
        <v>108</v>
      </c>
      <c r="H12" s="25" t="s">
        <v>104</v>
      </c>
    </row>
    <row r="13" spans="1:11" ht="30" customHeight="1" x14ac:dyDescent="0.2">
      <c r="A13" s="23" t="s">
        <v>41</v>
      </c>
      <c r="B13" s="24">
        <v>45927</v>
      </c>
      <c r="C13" s="23" t="s">
        <v>43</v>
      </c>
      <c r="D13" s="25" t="s">
        <v>53</v>
      </c>
      <c r="E13" s="25" t="s">
        <v>73</v>
      </c>
      <c r="F13" s="25" t="s">
        <v>88</v>
      </c>
      <c r="G13" s="25" t="s">
        <v>108</v>
      </c>
      <c r="H13" s="25" t="s">
        <v>104</v>
      </c>
    </row>
    <row r="14" spans="1:11" ht="45" customHeight="1" x14ac:dyDescent="0.2">
      <c r="A14" s="23" t="s">
        <v>41</v>
      </c>
      <c r="B14" s="24">
        <v>45927</v>
      </c>
      <c r="C14" s="23" t="s">
        <v>40</v>
      </c>
      <c r="D14" s="25" t="s">
        <v>54</v>
      </c>
      <c r="E14" s="25" t="s">
        <v>74</v>
      </c>
      <c r="F14" s="25" t="s">
        <v>89</v>
      </c>
      <c r="G14" s="25" t="s">
        <v>109</v>
      </c>
      <c r="H14" s="26" t="s">
        <v>117</v>
      </c>
    </row>
    <row r="15" spans="1:11" ht="45" customHeight="1" x14ac:dyDescent="0.2">
      <c r="A15" s="23" t="s">
        <v>41</v>
      </c>
      <c r="B15" s="24">
        <v>45927</v>
      </c>
      <c r="C15" s="23" t="s">
        <v>31</v>
      </c>
      <c r="D15" s="25" t="s">
        <v>55</v>
      </c>
      <c r="E15" s="25" t="s">
        <v>75</v>
      </c>
      <c r="F15" s="25" t="s">
        <v>90</v>
      </c>
      <c r="G15" s="25" t="s">
        <v>110</v>
      </c>
      <c r="H15" s="26" t="s">
        <v>116</v>
      </c>
    </row>
    <row r="16" spans="1:11" ht="34" customHeight="1" x14ac:dyDescent="0.2">
      <c r="A16" s="23" t="s">
        <v>41</v>
      </c>
      <c r="B16" s="24">
        <v>45927</v>
      </c>
      <c r="C16" s="23" t="s">
        <v>31</v>
      </c>
      <c r="D16" s="25" t="s">
        <v>56</v>
      </c>
      <c r="E16" s="25" t="s">
        <v>76</v>
      </c>
      <c r="F16" s="25" t="s">
        <v>91</v>
      </c>
      <c r="G16" s="25" t="s">
        <v>111</v>
      </c>
      <c r="H16" s="26" t="s">
        <v>115</v>
      </c>
    </row>
    <row r="17" spans="1:8" ht="36" customHeight="1" x14ac:dyDescent="0.2">
      <c r="A17" s="23" t="s">
        <v>41</v>
      </c>
      <c r="B17" s="24">
        <v>45927</v>
      </c>
      <c r="C17" s="23" t="s">
        <v>31</v>
      </c>
      <c r="D17" s="25" t="s">
        <v>57</v>
      </c>
      <c r="E17" s="25" t="s">
        <v>77</v>
      </c>
      <c r="F17" s="25" t="s">
        <v>91</v>
      </c>
      <c r="G17" s="25" t="s">
        <v>112</v>
      </c>
      <c r="H17" s="26" t="s">
        <v>115</v>
      </c>
    </row>
    <row r="18" spans="1:8" ht="37" customHeight="1" x14ac:dyDescent="0.2">
      <c r="A18" s="23" t="s">
        <v>41</v>
      </c>
      <c r="B18" s="24">
        <v>45927</v>
      </c>
      <c r="C18" s="23" t="s">
        <v>31</v>
      </c>
      <c r="D18" s="25" t="s">
        <v>58</v>
      </c>
      <c r="E18" s="25" t="s">
        <v>78</v>
      </c>
      <c r="F18" s="25" t="s">
        <v>92</v>
      </c>
      <c r="G18" s="25" t="s">
        <v>113</v>
      </c>
      <c r="H18" s="26" t="s">
        <v>114</v>
      </c>
    </row>
    <row r="19" spans="1:8" ht="32" customHeight="1" x14ac:dyDescent="0.2">
      <c r="A19" s="23" t="s">
        <v>41</v>
      </c>
      <c r="B19" s="24">
        <v>45927</v>
      </c>
      <c r="C19" s="23" t="s">
        <v>31</v>
      </c>
      <c r="D19" s="25" t="s">
        <v>59</v>
      </c>
      <c r="E19" s="25" t="s">
        <v>79</v>
      </c>
      <c r="F19" s="25" t="s">
        <v>91</v>
      </c>
      <c r="G19" s="25" t="s">
        <v>118</v>
      </c>
      <c r="H19" s="26" t="s">
        <v>115</v>
      </c>
    </row>
    <row r="20" spans="1:8" ht="30" customHeight="1" x14ac:dyDescent="0.2">
      <c r="A20" s="23" t="s">
        <v>41</v>
      </c>
      <c r="B20" s="24">
        <v>45927</v>
      </c>
      <c r="C20" s="23" t="s">
        <v>31</v>
      </c>
      <c r="D20" s="25" t="s">
        <v>60</v>
      </c>
      <c r="E20" s="25" t="s">
        <v>80</v>
      </c>
      <c r="F20" s="25" t="s">
        <v>91</v>
      </c>
      <c r="G20" s="25" t="s">
        <v>119</v>
      </c>
      <c r="H20" s="26" t="s">
        <v>115</v>
      </c>
    </row>
    <row r="21" spans="1:8" ht="30" customHeight="1" x14ac:dyDescent="0.2">
      <c r="A21" s="23" t="s">
        <v>41</v>
      </c>
      <c r="B21" s="24">
        <v>45927</v>
      </c>
      <c r="C21" s="23" t="s">
        <v>31</v>
      </c>
      <c r="D21" s="25" t="s">
        <v>61</v>
      </c>
      <c r="E21" s="25" t="s">
        <v>81</v>
      </c>
      <c r="F21" s="25" t="s">
        <v>91</v>
      </c>
      <c r="G21" s="25" t="s">
        <v>120</v>
      </c>
      <c r="H21" s="26" t="s">
        <v>115</v>
      </c>
    </row>
    <row r="22" spans="1:8" ht="46" customHeight="1" x14ac:dyDescent="0.2">
      <c r="A22" s="23" t="s">
        <v>41</v>
      </c>
      <c r="B22" s="24">
        <v>45927</v>
      </c>
      <c r="C22" s="23" t="s">
        <v>31</v>
      </c>
      <c r="D22" s="25" t="s">
        <v>62</v>
      </c>
      <c r="E22" s="25" t="s">
        <v>82</v>
      </c>
      <c r="F22" s="25" t="s">
        <v>93</v>
      </c>
      <c r="G22" s="25" t="s">
        <v>121</v>
      </c>
      <c r="H22" s="26" t="s">
        <v>125</v>
      </c>
    </row>
    <row r="23" spans="1:8" ht="49" customHeight="1" x14ac:dyDescent="0.2">
      <c r="A23" s="23" t="s">
        <v>41</v>
      </c>
      <c r="B23" s="24">
        <v>45927</v>
      </c>
      <c r="C23" s="23" t="s">
        <v>44</v>
      </c>
      <c r="D23" s="25" t="s">
        <v>63</v>
      </c>
      <c r="E23" s="25" t="s">
        <v>83</v>
      </c>
      <c r="F23" s="25" t="s">
        <v>94</v>
      </c>
      <c r="G23" s="25" t="s">
        <v>122</v>
      </c>
      <c r="H23" s="26" t="s">
        <v>126</v>
      </c>
    </row>
    <row r="24" spans="1:8" ht="49" customHeight="1" x14ac:dyDescent="0.2">
      <c r="A24" s="23" t="s">
        <v>41</v>
      </c>
      <c r="B24" s="24">
        <v>45927</v>
      </c>
      <c r="C24" s="23" t="s">
        <v>31</v>
      </c>
      <c r="D24" s="25" t="s">
        <v>64</v>
      </c>
      <c r="E24" s="25" t="s">
        <v>84</v>
      </c>
      <c r="F24" s="25" t="s">
        <v>95</v>
      </c>
      <c r="G24" s="25" t="s">
        <v>123</v>
      </c>
      <c r="H24" s="26" t="s">
        <v>104</v>
      </c>
    </row>
    <row r="25" spans="1:8" ht="44" customHeight="1" x14ac:dyDescent="0.2">
      <c r="A25" s="23" t="s">
        <v>41</v>
      </c>
      <c r="B25" s="24">
        <v>45927</v>
      </c>
      <c r="C25" s="23" t="s">
        <v>44</v>
      </c>
      <c r="D25" s="25" t="s">
        <v>65</v>
      </c>
      <c r="E25" s="25" t="s">
        <v>85</v>
      </c>
      <c r="F25" s="25" t="s">
        <v>96</v>
      </c>
      <c r="G25" s="25" t="s">
        <v>124</v>
      </c>
      <c r="H25" s="26" t="s">
        <v>127</v>
      </c>
    </row>
    <row r="26" spans="1:8" ht="58" customHeight="1" x14ac:dyDescent="0.2">
      <c r="A26" s="23" t="s">
        <v>41</v>
      </c>
      <c r="B26" s="24">
        <v>45927</v>
      </c>
      <c r="C26" s="23" t="s">
        <v>40</v>
      </c>
      <c r="D26" s="25" t="s">
        <v>66</v>
      </c>
      <c r="E26" s="25" t="s">
        <v>86</v>
      </c>
      <c r="F26" s="25" t="s">
        <v>97</v>
      </c>
      <c r="G26" s="25" t="s">
        <v>128</v>
      </c>
      <c r="H26" s="26" t="s">
        <v>129</v>
      </c>
    </row>
    <row r="27" spans="1:8" ht="30" customHeight="1" x14ac:dyDescent="0.2">
      <c r="A27" s="16"/>
      <c r="B27" s="17"/>
      <c r="C27" s="16"/>
      <c r="D27" s="18"/>
      <c r="E27" s="18"/>
      <c r="F27" s="18"/>
      <c r="G27" s="18"/>
      <c r="H27" s="18"/>
    </row>
    <row r="28" spans="1:8" ht="30" customHeight="1" x14ac:dyDescent="0.2">
      <c r="A28" s="16"/>
      <c r="B28" s="17"/>
      <c r="C28" s="16"/>
      <c r="D28" s="18"/>
      <c r="E28" s="18"/>
      <c r="F28" s="18"/>
      <c r="G28" s="18"/>
      <c r="H28" s="18"/>
    </row>
    <row r="29" spans="1:8" ht="30" customHeight="1" x14ac:dyDescent="0.2">
      <c r="A29" s="16"/>
      <c r="B29" s="17"/>
      <c r="C29" s="16"/>
      <c r="D29" s="18"/>
      <c r="E29" s="18"/>
      <c r="F29" s="18"/>
      <c r="G29" s="18"/>
      <c r="H29" s="18"/>
    </row>
    <row r="30" spans="1:8" ht="30" customHeight="1" x14ac:dyDescent="0.2">
      <c r="A30" s="16"/>
      <c r="B30" s="17"/>
      <c r="C30" s="16"/>
      <c r="D30" s="18"/>
      <c r="E30" s="18"/>
      <c r="F30" s="18"/>
      <c r="G30" s="18"/>
      <c r="H30" s="18"/>
    </row>
    <row r="31" spans="1:8" ht="30" customHeight="1" x14ac:dyDescent="0.2">
      <c r="A31" s="16"/>
      <c r="B31" s="17"/>
      <c r="C31" s="16"/>
      <c r="D31" s="18"/>
      <c r="E31" s="18"/>
      <c r="F31" s="18"/>
      <c r="G31" s="18"/>
      <c r="H31" s="18"/>
    </row>
    <row r="32" spans="1:8" ht="30" customHeight="1" x14ac:dyDescent="0.2">
      <c r="A32" s="16"/>
      <c r="B32" s="17"/>
      <c r="C32" s="16"/>
      <c r="D32" s="18"/>
      <c r="E32" s="18"/>
      <c r="F32" s="18"/>
      <c r="G32" s="18"/>
      <c r="H32" s="18"/>
    </row>
    <row r="33" spans="1:8" ht="30" customHeight="1" x14ac:dyDescent="0.2">
      <c r="A33" s="16"/>
      <c r="B33" s="17"/>
      <c r="C33" s="16"/>
      <c r="D33" s="18"/>
      <c r="E33" s="18"/>
      <c r="F33" s="18"/>
      <c r="G33" s="18"/>
      <c r="H33" s="18"/>
    </row>
    <row r="34" spans="1:8" ht="30" customHeight="1" x14ac:dyDescent="0.2">
      <c r="A34" s="16"/>
      <c r="B34" s="17"/>
      <c r="C34" s="16"/>
      <c r="D34" s="18"/>
      <c r="E34" s="18"/>
      <c r="F34" s="18"/>
      <c r="G34" s="18"/>
      <c r="H34" s="18"/>
    </row>
    <row r="35" spans="1:8" ht="30" customHeight="1" x14ac:dyDescent="0.2">
      <c r="A35" s="16"/>
      <c r="B35" s="17"/>
      <c r="C35" s="16"/>
      <c r="D35" s="18"/>
      <c r="E35" s="18"/>
      <c r="F35" s="18"/>
      <c r="G35" s="18"/>
      <c r="H35" s="18"/>
    </row>
    <row r="36" spans="1:8" ht="30" customHeight="1" x14ac:dyDescent="0.2">
      <c r="A36" s="16"/>
      <c r="B36" s="17"/>
      <c r="C36" s="16"/>
      <c r="D36" s="18"/>
      <c r="E36" s="18"/>
      <c r="F36" s="18"/>
      <c r="G36" s="18"/>
      <c r="H36" s="18"/>
    </row>
    <row r="37" spans="1:8" ht="30" customHeight="1" x14ac:dyDescent="0.2">
      <c r="A37" s="16"/>
      <c r="B37" s="17"/>
      <c r="C37" s="16"/>
      <c r="D37" s="18"/>
      <c r="E37" s="18"/>
      <c r="F37" s="18"/>
      <c r="G37" s="18"/>
      <c r="H37" s="18"/>
    </row>
    <row r="38" spans="1:8" ht="30" customHeight="1" x14ac:dyDescent="0.2">
      <c r="A38" s="16"/>
      <c r="B38" s="17"/>
      <c r="C38" s="16"/>
      <c r="D38" s="18"/>
      <c r="E38" s="18"/>
      <c r="F38" s="18"/>
      <c r="G38" s="18"/>
      <c r="H38" s="18"/>
    </row>
    <row r="39" spans="1:8" ht="30" customHeight="1" x14ac:dyDescent="0.2">
      <c r="A39" s="16"/>
      <c r="B39" s="17"/>
      <c r="C39" s="16"/>
      <c r="D39" s="18"/>
      <c r="E39" s="18"/>
      <c r="F39" s="18"/>
      <c r="G39" s="18"/>
      <c r="H39" s="18"/>
    </row>
    <row r="40" spans="1:8" ht="30" customHeight="1" x14ac:dyDescent="0.2">
      <c r="A40" s="16"/>
      <c r="B40" s="17"/>
      <c r="C40" s="16"/>
      <c r="D40" s="18"/>
      <c r="E40" s="18"/>
      <c r="F40" s="18"/>
      <c r="G40" s="18"/>
      <c r="H40" s="18"/>
    </row>
    <row r="41" spans="1:8" ht="30" customHeight="1" x14ac:dyDescent="0.2">
      <c r="A41" s="16"/>
      <c r="B41" s="17"/>
      <c r="C41" s="16"/>
      <c r="D41" s="18"/>
      <c r="E41" s="18"/>
      <c r="F41" s="18"/>
      <c r="G41" s="18"/>
      <c r="H41" s="18"/>
    </row>
    <row r="42" spans="1:8" ht="30" customHeight="1" x14ac:dyDescent="0.2">
      <c r="A42" s="16"/>
      <c r="B42" s="17"/>
      <c r="C42" s="16"/>
      <c r="D42" s="18"/>
      <c r="E42" s="18"/>
      <c r="F42" s="18"/>
      <c r="G42" s="18"/>
      <c r="H42" s="18"/>
    </row>
    <row r="43" spans="1:8" ht="30" customHeight="1" x14ac:dyDescent="0.2">
      <c r="A43" s="16"/>
      <c r="B43" s="17"/>
      <c r="C43" s="16"/>
      <c r="D43" s="18"/>
      <c r="E43" s="18"/>
      <c r="F43" s="18"/>
      <c r="G43" s="18"/>
      <c r="H43" s="18"/>
    </row>
    <row r="44" spans="1:8" ht="30" customHeight="1" x14ac:dyDescent="0.2">
      <c r="A44" s="16"/>
      <c r="B44" s="17"/>
      <c r="C44" s="16"/>
      <c r="D44" s="18"/>
      <c r="E44" s="18"/>
      <c r="F44" s="18"/>
      <c r="G44" s="18"/>
      <c r="H44" s="18"/>
    </row>
    <row r="45" spans="1:8" ht="30" customHeight="1" x14ac:dyDescent="0.2">
      <c r="A45" s="16"/>
      <c r="B45" s="17"/>
      <c r="C45" s="16"/>
      <c r="D45" s="18"/>
      <c r="E45" s="18"/>
      <c r="F45" s="18"/>
      <c r="G45" s="18"/>
      <c r="H45" s="18"/>
    </row>
    <row r="46" spans="1:8" ht="30" customHeight="1" x14ac:dyDescent="0.2">
      <c r="A46" s="16"/>
      <c r="B46" s="17"/>
      <c r="C46" s="16"/>
      <c r="D46" s="18"/>
      <c r="E46" s="18"/>
      <c r="F46" s="18"/>
      <c r="G46" s="18"/>
      <c r="H46" s="18"/>
    </row>
    <row r="47" spans="1:8" ht="30" customHeight="1" x14ac:dyDescent="0.2">
      <c r="A47" s="16"/>
      <c r="B47" s="17"/>
      <c r="C47" s="16"/>
      <c r="D47" s="18"/>
      <c r="E47" s="18"/>
      <c r="F47" s="18"/>
      <c r="G47" s="18"/>
      <c r="H47" s="18"/>
    </row>
    <row r="48" spans="1:8" ht="30" customHeight="1" x14ac:dyDescent="0.2">
      <c r="A48" s="16"/>
      <c r="B48" s="17"/>
      <c r="C48" s="16"/>
      <c r="D48" s="18"/>
      <c r="E48" s="18"/>
      <c r="F48" s="18"/>
      <c r="G48" s="18"/>
      <c r="H48" s="18"/>
    </row>
    <row r="49" spans="1:8" ht="30" customHeight="1" x14ac:dyDescent="0.2">
      <c r="A49" s="16"/>
      <c r="B49" s="17"/>
      <c r="C49" s="16"/>
      <c r="D49" s="18"/>
      <c r="E49" s="18"/>
      <c r="F49" s="18"/>
      <c r="G49" s="18"/>
      <c r="H49" s="18"/>
    </row>
    <row r="50" spans="1:8" ht="30" customHeight="1" x14ac:dyDescent="0.2">
      <c r="A50" s="16"/>
      <c r="B50" s="17"/>
      <c r="C50" s="16"/>
      <c r="D50" s="18"/>
      <c r="E50" s="18"/>
      <c r="F50" s="18"/>
      <c r="G50" s="18"/>
      <c r="H50" s="18"/>
    </row>
    <row r="51" spans="1:8" ht="30" customHeight="1" x14ac:dyDescent="0.2">
      <c r="A51" s="16"/>
      <c r="B51" s="17"/>
      <c r="C51" s="16"/>
      <c r="D51" s="18"/>
      <c r="E51" s="18"/>
      <c r="F51" s="18"/>
      <c r="G51" s="18"/>
      <c r="H51" s="18"/>
    </row>
    <row r="52" spans="1:8" ht="30" customHeight="1" x14ac:dyDescent="0.2">
      <c r="A52" s="16"/>
      <c r="B52" s="17"/>
      <c r="C52" s="16"/>
      <c r="D52" s="18"/>
      <c r="E52" s="18"/>
      <c r="F52" s="18"/>
      <c r="G52" s="18"/>
      <c r="H52" s="18"/>
    </row>
    <row r="53" spans="1:8" ht="30" customHeight="1" x14ac:dyDescent="0.2">
      <c r="A53" s="16"/>
      <c r="B53" s="17"/>
      <c r="C53" s="16"/>
      <c r="D53" s="18"/>
      <c r="E53" s="18"/>
      <c r="F53" s="18"/>
      <c r="G53" s="18"/>
      <c r="H53" s="18"/>
    </row>
    <row r="54" spans="1:8" ht="30" customHeight="1" x14ac:dyDescent="0.2">
      <c r="A54" s="16"/>
      <c r="B54" s="17"/>
      <c r="C54" s="16"/>
      <c r="D54" s="18"/>
      <c r="E54" s="18"/>
      <c r="F54" s="18"/>
      <c r="G54" s="18"/>
      <c r="H54" s="18"/>
    </row>
    <row r="55" spans="1:8" ht="30" customHeight="1" x14ac:dyDescent="0.2">
      <c r="A55" s="16"/>
      <c r="B55" s="17"/>
      <c r="C55" s="16"/>
      <c r="D55" s="18"/>
      <c r="E55" s="18"/>
      <c r="F55" s="18"/>
      <c r="G55" s="18"/>
      <c r="H55" s="18"/>
    </row>
    <row r="56" spans="1:8" ht="30" customHeight="1" x14ac:dyDescent="0.2">
      <c r="A56" s="16"/>
      <c r="B56" s="17"/>
      <c r="C56" s="16"/>
      <c r="D56" s="18"/>
      <c r="E56" s="18"/>
      <c r="F56" s="18"/>
      <c r="G56" s="18"/>
      <c r="H56" s="18"/>
    </row>
    <row r="57" spans="1:8" ht="30" customHeight="1" x14ac:dyDescent="0.2">
      <c r="A57" s="16"/>
      <c r="B57" s="17"/>
      <c r="C57" s="16"/>
      <c r="D57" s="18"/>
      <c r="E57" s="18"/>
      <c r="F57" s="18"/>
      <c r="G57" s="18"/>
      <c r="H57" s="18"/>
    </row>
    <row r="58" spans="1:8" ht="30" customHeight="1" x14ac:dyDescent="0.2">
      <c r="A58" s="16"/>
      <c r="B58" s="17"/>
      <c r="C58" s="16"/>
      <c r="D58" s="18"/>
      <c r="E58" s="18"/>
      <c r="F58" s="18"/>
      <c r="G58" s="18"/>
      <c r="H58" s="18"/>
    </row>
    <row r="59" spans="1:8" ht="30" customHeight="1" x14ac:dyDescent="0.2">
      <c r="A59" s="16"/>
      <c r="B59" s="17"/>
      <c r="C59" s="16"/>
      <c r="D59" s="18"/>
      <c r="E59" s="18"/>
      <c r="F59" s="18"/>
      <c r="G59" s="18"/>
      <c r="H59" s="18"/>
    </row>
    <row r="60" spans="1:8" ht="30" customHeight="1" x14ac:dyDescent="0.2">
      <c r="A60" s="16"/>
      <c r="B60" s="17"/>
      <c r="C60" s="16"/>
      <c r="D60" s="18"/>
      <c r="E60" s="18"/>
      <c r="F60" s="18"/>
      <c r="G60" s="18"/>
      <c r="H60" s="18"/>
    </row>
    <row r="61" spans="1:8" ht="30" customHeight="1" x14ac:dyDescent="0.2">
      <c r="A61" s="16"/>
      <c r="B61" s="17"/>
      <c r="C61" s="16"/>
      <c r="D61" s="18"/>
      <c r="E61" s="18"/>
      <c r="F61" s="18"/>
      <c r="G61" s="18"/>
      <c r="H61" s="18"/>
    </row>
    <row r="62" spans="1:8" ht="30" customHeight="1" x14ac:dyDescent="0.2">
      <c r="A62" s="16"/>
      <c r="B62" s="17"/>
      <c r="C62" s="16"/>
      <c r="D62" s="18"/>
      <c r="E62" s="18"/>
      <c r="F62" s="18"/>
      <c r="G62" s="18"/>
      <c r="H62" s="18"/>
    </row>
    <row r="63" spans="1:8" ht="30" customHeight="1" x14ac:dyDescent="0.2">
      <c r="A63" s="16"/>
      <c r="B63" s="17"/>
      <c r="C63" s="16"/>
      <c r="D63" s="18"/>
      <c r="E63" s="18"/>
      <c r="F63" s="18"/>
      <c r="G63" s="18"/>
      <c r="H63" s="18"/>
    </row>
    <row r="64" spans="1:8" ht="30" customHeight="1" x14ac:dyDescent="0.2">
      <c r="A64" s="16"/>
      <c r="B64" s="17"/>
      <c r="C64" s="16"/>
      <c r="D64" s="18"/>
      <c r="E64" s="18"/>
      <c r="F64" s="18"/>
      <c r="G64" s="18"/>
      <c r="H64" s="18"/>
    </row>
    <row r="65" spans="1:8" ht="30" customHeight="1" x14ac:dyDescent="0.2">
      <c r="A65" s="16"/>
      <c r="B65" s="17"/>
      <c r="C65" s="16"/>
      <c r="D65" s="18"/>
      <c r="E65" s="18"/>
      <c r="F65" s="18"/>
      <c r="G65" s="18"/>
      <c r="H65" s="18"/>
    </row>
    <row r="66" spans="1:8" ht="30" customHeight="1" x14ac:dyDescent="0.2">
      <c r="A66" s="16"/>
      <c r="B66" s="17"/>
      <c r="C66" s="16"/>
      <c r="D66" s="18"/>
      <c r="E66" s="18"/>
      <c r="F66" s="18"/>
      <c r="G66" s="18"/>
      <c r="H66" s="18"/>
    </row>
    <row r="67" spans="1:8" ht="30" customHeight="1" x14ac:dyDescent="0.2">
      <c r="A67" s="16"/>
      <c r="B67" s="17"/>
      <c r="C67" s="16"/>
      <c r="D67" s="18"/>
      <c r="E67" s="18"/>
      <c r="F67" s="18"/>
      <c r="G67" s="18"/>
      <c r="H67" s="18"/>
    </row>
    <row r="68" spans="1:8" ht="30" customHeight="1" x14ac:dyDescent="0.2">
      <c r="A68" s="16"/>
      <c r="B68" s="17"/>
      <c r="C68" s="16"/>
      <c r="D68" s="18"/>
      <c r="E68" s="18"/>
      <c r="F68" s="18"/>
      <c r="G68" s="18"/>
      <c r="H68" s="18"/>
    </row>
    <row r="69" spans="1:8" ht="30" customHeight="1" x14ac:dyDescent="0.2">
      <c r="A69" s="16"/>
      <c r="B69" s="17"/>
      <c r="C69" s="16"/>
      <c r="D69" s="18"/>
      <c r="E69" s="18"/>
      <c r="F69" s="18"/>
      <c r="G69" s="18"/>
      <c r="H69" s="18"/>
    </row>
    <row r="70" spans="1:8" ht="30" customHeight="1" x14ac:dyDescent="0.2">
      <c r="A70" s="16"/>
      <c r="B70" s="17"/>
      <c r="C70" s="16"/>
      <c r="D70" s="18"/>
      <c r="E70" s="18"/>
      <c r="F70" s="18"/>
      <c r="G70" s="18"/>
      <c r="H70" s="18"/>
    </row>
    <row r="71" spans="1:8" ht="30" customHeight="1" x14ac:dyDescent="0.2">
      <c r="A71" s="16"/>
      <c r="B71" s="17"/>
      <c r="C71" s="16"/>
      <c r="D71" s="18"/>
      <c r="E71" s="18"/>
      <c r="F71" s="18"/>
      <c r="G71" s="18"/>
      <c r="H71" s="18"/>
    </row>
    <row r="72" spans="1:8" ht="30" customHeight="1" x14ac:dyDescent="0.2">
      <c r="A72" s="16"/>
      <c r="B72" s="17"/>
      <c r="C72" s="16"/>
      <c r="D72" s="18"/>
      <c r="E72" s="18"/>
      <c r="F72" s="18"/>
      <c r="G72" s="18"/>
      <c r="H72" s="18"/>
    </row>
    <row r="73" spans="1:8" ht="30" customHeight="1" x14ac:dyDescent="0.2">
      <c r="A73" s="16"/>
      <c r="B73" s="17"/>
      <c r="C73" s="16"/>
      <c r="D73" s="18"/>
      <c r="E73" s="18"/>
      <c r="F73" s="18"/>
      <c r="G73" s="18"/>
      <c r="H73" s="18"/>
    </row>
    <row r="74" spans="1:8" ht="30" customHeight="1" x14ac:dyDescent="0.2">
      <c r="A74" s="16"/>
      <c r="B74" s="17"/>
      <c r="C74" s="16"/>
      <c r="D74" s="18"/>
      <c r="E74" s="18"/>
      <c r="F74" s="18"/>
      <c r="G74" s="18"/>
      <c r="H74" s="18"/>
    </row>
    <row r="75" spans="1:8" ht="30" customHeight="1" x14ac:dyDescent="0.2">
      <c r="A75" s="16"/>
      <c r="B75" s="17"/>
      <c r="C75" s="16"/>
      <c r="D75" s="18"/>
      <c r="E75" s="18"/>
      <c r="F75" s="18"/>
      <c r="G75" s="18"/>
      <c r="H75" s="18"/>
    </row>
    <row r="76" spans="1:8" ht="30" customHeight="1" x14ac:dyDescent="0.2">
      <c r="A76" s="16"/>
      <c r="B76" s="17"/>
      <c r="C76" s="16"/>
      <c r="D76" s="18"/>
      <c r="E76" s="18"/>
      <c r="F76" s="18"/>
      <c r="G76" s="18"/>
      <c r="H76" s="18"/>
    </row>
    <row r="77" spans="1:8" ht="30" customHeight="1" x14ac:dyDescent="0.2">
      <c r="A77" s="16"/>
      <c r="B77" s="17"/>
      <c r="C77" s="16"/>
      <c r="D77" s="18"/>
      <c r="E77" s="18"/>
      <c r="F77" s="18"/>
      <c r="G77" s="18"/>
      <c r="H77" s="18"/>
    </row>
    <row r="78" spans="1:8" ht="30" customHeight="1" x14ac:dyDescent="0.2">
      <c r="A78" s="16"/>
      <c r="B78" s="17"/>
      <c r="C78" s="16"/>
      <c r="D78" s="18"/>
      <c r="E78" s="18"/>
      <c r="F78" s="18"/>
      <c r="G78" s="18"/>
      <c r="H78" s="18"/>
    </row>
    <row r="79" spans="1:8" ht="30" customHeight="1" x14ac:dyDescent="0.2">
      <c r="A79" s="16"/>
      <c r="B79" s="17"/>
      <c r="C79" s="16"/>
      <c r="D79" s="18"/>
      <c r="E79" s="18"/>
      <c r="F79" s="18"/>
      <c r="G79" s="18"/>
      <c r="H79" s="18"/>
    </row>
    <row r="80" spans="1:8" ht="30" customHeight="1" x14ac:dyDescent="0.2">
      <c r="A80" s="16"/>
      <c r="B80" s="17"/>
      <c r="C80" s="16"/>
      <c r="D80" s="18"/>
      <c r="E80" s="18"/>
      <c r="F80" s="18"/>
      <c r="G80" s="18"/>
      <c r="H80" s="18"/>
    </row>
    <row r="81" spans="1:8" ht="30" customHeight="1" x14ac:dyDescent="0.2">
      <c r="A81" s="16"/>
      <c r="B81" s="17"/>
      <c r="C81" s="16"/>
      <c r="D81" s="18"/>
      <c r="E81" s="18"/>
      <c r="F81" s="18"/>
      <c r="G81" s="18"/>
      <c r="H81" s="18"/>
    </row>
    <row r="82" spans="1:8" ht="30" customHeight="1" x14ac:dyDescent="0.2">
      <c r="A82" s="16"/>
      <c r="B82" s="17"/>
      <c r="C82" s="16"/>
      <c r="D82" s="18"/>
      <c r="E82" s="18"/>
      <c r="F82" s="18"/>
      <c r="G82" s="18"/>
      <c r="H82" s="18"/>
    </row>
    <row r="83" spans="1:8" ht="30" customHeight="1" x14ac:dyDescent="0.2">
      <c r="A83" s="16"/>
      <c r="B83" s="17"/>
      <c r="C83" s="16"/>
      <c r="D83" s="18"/>
      <c r="E83" s="18"/>
      <c r="F83" s="18"/>
      <c r="G83" s="18"/>
      <c r="H83" s="18"/>
    </row>
    <row r="84" spans="1:8" ht="30" customHeight="1" x14ac:dyDescent="0.2">
      <c r="A84" s="16"/>
      <c r="B84" s="17"/>
      <c r="C84" s="16"/>
      <c r="D84" s="18"/>
      <c r="E84" s="18"/>
      <c r="F84" s="18"/>
      <c r="G84" s="18"/>
      <c r="H84" s="18"/>
    </row>
    <row r="85" spans="1:8" ht="30" customHeight="1" x14ac:dyDescent="0.2">
      <c r="A85" s="16"/>
      <c r="B85" s="17"/>
      <c r="C85" s="16"/>
      <c r="D85" s="18"/>
      <c r="E85" s="18"/>
      <c r="F85" s="18"/>
      <c r="G85" s="18"/>
      <c r="H85" s="18"/>
    </row>
    <row r="86" spans="1:8" ht="30" customHeight="1" x14ac:dyDescent="0.2">
      <c r="A86" s="16"/>
      <c r="B86" s="17"/>
      <c r="C86" s="16"/>
      <c r="D86" s="18"/>
      <c r="E86" s="18"/>
      <c r="F86" s="18"/>
      <c r="G86" s="18"/>
      <c r="H86" s="18"/>
    </row>
    <row r="87" spans="1:8" ht="30" customHeight="1" x14ac:dyDescent="0.2">
      <c r="A87" s="16"/>
      <c r="B87" s="17"/>
      <c r="C87" s="16"/>
      <c r="D87" s="18"/>
      <c r="E87" s="18"/>
      <c r="F87" s="18"/>
      <c r="G87" s="18"/>
      <c r="H87" s="18"/>
    </row>
    <row r="88" spans="1:8" ht="30" customHeight="1" x14ac:dyDescent="0.2">
      <c r="A88" s="16"/>
      <c r="B88" s="17"/>
      <c r="C88" s="16"/>
      <c r="D88" s="18"/>
      <c r="E88" s="18"/>
      <c r="F88" s="18"/>
      <c r="G88" s="18"/>
      <c r="H88" s="18"/>
    </row>
    <row r="89" spans="1:8" ht="30" customHeight="1" x14ac:dyDescent="0.2">
      <c r="A89" s="16"/>
      <c r="B89" s="17"/>
      <c r="C89" s="16"/>
      <c r="D89" s="18"/>
      <c r="E89" s="18"/>
      <c r="F89" s="18"/>
      <c r="G89" s="18"/>
      <c r="H89" s="18"/>
    </row>
    <row r="90" spans="1:8" ht="30" customHeight="1" x14ac:dyDescent="0.2">
      <c r="A90" s="16"/>
      <c r="B90" s="17"/>
      <c r="C90" s="16"/>
      <c r="D90" s="18"/>
      <c r="E90" s="18"/>
      <c r="F90" s="18"/>
      <c r="G90" s="18"/>
      <c r="H90" s="18"/>
    </row>
    <row r="91" spans="1:8" ht="30" customHeight="1" x14ac:dyDescent="0.2">
      <c r="A91" s="16"/>
      <c r="B91" s="17"/>
      <c r="C91" s="16"/>
      <c r="D91" s="18"/>
      <c r="E91" s="18"/>
      <c r="F91" s="18"/>
      <c r="G91" s="18"/>
      <c r="H91" s="18"/>
    </row>
    <row r="92" spans="1:8" ht="30" customHeight="1" x14ac:dyDescent="0.2">
      <c r="A92" s="16"/>
      <c r="B92" s="17"/>
      <c r="C92" s="16"/>
      <c r="D92" s="18"/>
      <c r="E92" s="18"/>
      <c r="F92" s="18"/>
      <c r="G92" s="18"/>
      <c r="H92" s="18"/>
    </row>
    <row r="93" spans="1:8" ht="30" customHeight="1" x14ac:dyDescent="0.2">
      <c r="A93" s="16"/>
      <c r="B93" s="17"/>
      <c r="C93" s="16"/>
      <c r="D93" s="18"/>
      <c r="E93" s="18"/>
      <c r="F93" s="18"/>
      <c r="G93" s="18"/>
      <c r="H93" s="18"/>
    </row>
    <row r="94" spans="1:8" ht="30" customHeight="1" x14ac:dyDescent="0.2">
      <c r="A94" s="16"/>
      <c r="B94" s="17"/>
      <c r="C94" s="16"/>
      <c r="D94" s="18"/>
      <c r="E94" s="18"/>
      <c r="F94" s="18"/>
      <c r="G94" s="18"/>
      <c r="H94" s="18"/>
    </row>
    <row r="95" spans="1:8" ht="30" customHeight="1" x14ac:dyDescent="0.2">
      <c r="A95" s="16"/>
      <c r="B95" s="17"/>
      <c r="C95" s="16"/>
      <c r="D95" s="18"/>
      <c r="E95" s="18"/>
      <c r="F95" s="18"/>
      <c r="G95" s="18"/>
      <c r="H95" s="18"/>
    </row>
    <row r="96" spans="1:8" ht="30" customHeight="1" x14ac:dyDescent="0.2">
      <c r="A96" s="16"/>
      <c r="B96" s="17"/>
      <c r="C96" s="16"/>
      <c r="D96" s="18"/>
      <c r="E96" s="18"/>
      <c r="F96" s="18"/>
      <c r="G96" s="18"/>
      <c r="H96" s="18"/>
    </row>
    <row r="97" spans="1:8" ht="30" customHeight="1" x14ac:dyDescent="0.2">
      <c r="A97" s="16"/>
      <c r="B97" s="17"/>
      <c r="C97" s="16"/>
      <c r="D97" s="18"/>
      <c r="E97" s="18"/>
      <c r="F97" s="18"/>
      <c r="G97" s="18"/>
      <c r="H97" s="18"/>
    </row>
    <row r="98" spans="1:8" ht="30" customHeight="1" x14ac:dyDescent="0.2">
      <c r="A98" s="16"/>
      <c r="B98" s="17"/>
      <c r="C98" s="16"/>
      <c r="D98" s="18"/>
      <c r="E98" s="18"/>
      <c r="F98" s="18"/>
      <c r="G98" s="18"/>
      <c r="H98" s="18"/>
    </row>
    <row r="99" spans="1:8" ht="30" customHeight="1" x14ac:dyDescent="0.2">
      <c r="A99" s="16"/>
      <c r="B99" s="17"/>
      <c r="C99" s="16"/>
      <c r="D99" s="18"/>
      <c r="E99" s="18"/>
      <c r="F99" s="18"/>
      <c r="G99" s="18"/>
      <c r="H99" s="18"/>
    </row>
    <row r="100" spans="1:8" ht="30" customHeight="1" x14ac:dyDescent="0.2">
      <c r="A100" s="16"/>
      <c r="B100" s="17"/>
      <c r="C100" s="16"/>
      <c r="D100" s="18"/>
      <c r="E100" s="18"/>
      <c r="F100" s="18"/>
      <c r="G100" s="18"/>
      <c r="H100" s="18"/>
    </row>
    <row r="101" spans="1:8" ht="30" customHeight="1" x14ac:dyDescent="0.2">
      <c r="A101" s="16"/>
      <c r="B101" s="17"/>
      <c r="C101" s="16"/>
      <c r="D101" s="18"/>
      <c r="E101" s="18"/>
      <c r="F101" s="18"/>
      <c r="G101" s="18"/>
      <c r="H101" s="18"/>
    </row>
    <row r="102" spans="1:8" ht="30" customHeight="1" x14ac:dyDescent="0.2">
      <c r="A102" s="16"/>
      <c r="B102" s="17"/>
      <c r="C102" s="16"/>
      <c r="D102" s="18"/>
      <c r="E102" s="18"/>
      <c r="F102" s="18"/>
      <c r="G102" s="18"/>
      <c r="H102" s="18"/>
    </row>
    <row r="103" spans="1:8" ht="30" customHeight="1" x14ac:dyDescent="0.2">
      <c r="A103" s="16"/>
      <c r="B103" s="17"/>
      <c r="C103" s="16"/>
      <c r="D103" s="18"/>
      <c r="E103" s="18"/>
      <c r="F103" s="18"/>
      <c r="G103" s="18"/>
      <c r="H103" s="18"/>
    </row>
    <row r="104" spans="1:8" ht="30" customHeight="1" x14ac:dyDescent="0.2">
      <c r="A104" s="16"/>
      <c r="B104" s="17"/>
      <c r="C104" s="16"/>
      <c r="D104" s="18"/>
      <c r="E104" s="18"/>
      <c r="F104" s="18"/>
      <c r="G104" s="18"/>
      <c r="H104" s="18"/>
    </row>
    <row r="105" spans="1:8" ht="30" customHeight="1" x14ac:dyDescent="0.2">
      <c r="A105" s="16"/>
      <c r="B105" s="17"/>
      <c r="C105" s="16"/>
      <c r="D105" s="18"/>
      <c r="E105" s="18"/>
      <c r="F105" s="18"/>
      <c r="G105" s="18"/>
      <c r="H105" s="18"/>
    </row>
    <row r="106" spans="1:8" ht="30" customHeight="1" x14ac:dyDescent="0.2">
      <c r="A106" s="16"/>
      <c r="B106" s="17"/>
      <c r="C106" s="16"/>
      <c r="D106" s="18"/>
      <c r="E106" s="18"/>
      <c r="F106" s="18"/>
      <c r="G106" s="18"/>
      <c r="H106" s="18"/>
    </row>
  </sheetData>
  <autoFilter ref="A5:H5" xr:uid="{00000000-0009-0000-0000-000001000000}"/>
  <mergeCells count="5">
    <mergeCell ref="A1:H1"/>
    <mergeCell ref="J1:K1"/>
    <mergeCell ref="A2:H2"/>
    <mergeCell ref="A3:C3"/>
    <mergeCell ref="A4:D4"/>
  </mergeCells>
  <conditionalFormatting sqref="A6:H106">
    <cfRule type="expression" dxfId="5" priority="2">
      <formula>$C6="Added"</formula>
    </cfRule>
    <cfRule type="expression" dxfId="4" priority="3">
      <formula>$C6="Changed"</formula>
    </cfRule>
    <cfRule type="expression" dxfId="3" priority="4">
      <formula>$C6="Deprecated"</formula>
    </cfRule>
    <cfRule type="expression" dxfId="2" priority="5">
      <formula>$C6="Removed"</formula>
    </cfRule>
    <cfRule type="expression" dxfId="1" priority="6">
      <formula>$C6="Fixed"</formula>
    </cfRule>
    <cfRule type="expression" dxfId="0" priority="7">
      <formula>$C6="Security"</formula>
    </cfRule>
  </conditionalFormatting>
  <dataValidations count="1">
    <dataValidation type="list" allowBlank="1" errorTitle="Invalid Type" error="Please choose a value from the list." sqref="C6:C106" xr:uid="{00000000-0002-0000-0100-000000000000}">
      <formula1>"Added,Changed,Deprecated,Removed,Fixed,Security"</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How to Use</vt:lpstr>
      <vt:lpstr>Changelog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Office</cp:lastModifiedBy>
  <cp:revision>0</cp:revision>
  <dcterms:created xsi:type="dcterms:W3CDTF">2026-09-18T13:54:05Z</dcterms:created>
  <dcterms:modified xsi:type="dcterms:W3CDTF">2026-09-27T12:26:23Z</dcterms:modified>
  <dc:language>en-US</dc:language>
</cp:coreProperties>
</file>